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nton\Documents\SpiderOak Hive\TA Stuff\Spring 2016\Labs\Lab 2 -- Wedge and Con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4" i="1"/>
  <c r="F3" i="1"/>
  <c r="C7" i="1"/>
  <c r="C6" i="1"/>
  <c r="B6" i="1"/>
  <c r="B5" i="1"/>
</calcChain>
</file>

<file path=xl/sharedStrings.xml><?xml version="1.0" encoding="utf-8"?>
<sst xmlns="http://schemas.openxmlformats.org/spreadsheetml/2006/main" count="19" uniqueCount="14">
  <si>
    <t>full scale</t>
  </si>
  <si>
    <t>psi</t>
  </si>
  <si>
    <t>Linearity</t>
  </si>
  <si>
    <t>Repeatability</t>
  </si>
  <si>
    <t>Temperature Shift</t>
  </si>
  <si>
    <t>Null Shift</t>
  </si>
  <si>
    <t>Total Uncertainty</t>
  </si>
  <si>
    <t>kPa</t>
  </si>
  <si>
    <t>V</t>
  </si>
  <si>
    <t>bits</t>
  </si>
  <si>
    <t>steps</t>
  </si>
  <si>
    <t>step size</t>
  </si>
  <si>
    <t>Calibration</t>
  </si>
  <si>
    <t>psi/V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</si>
</sst>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000"/>
    <numFmt numFmtId="174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174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0" sqref="F10"/>
    </sheetView>
  </sheetViews>
  <sheetFormatPr defaultRowHeight="14.4" x14ac:dyDescent="0.3"/>
  <cols>
    <col min="1" max="1" width="15.77734375" bestFit="1" customWidth="1"/>
    <col min="3" max="3" width="9.5546875" customWidth="1"/>
    <col min="5" max="5" width="9.88671875" bestFit="1" customWidth="1"/>
    <col min="6" max="6" width="9.6640625" customWidth="1"/>
  </cols>
  <sheetData>
    <row r="1" spans="1:7" x14ac:dyDescent="0.3">
      <c r="A1" t="s">
        <v>0</v>
      </c>
      <c r="B1">
        <v>30</v>
      </c>
      <c r="C1" t="s">
        <v>1</v>
      </c>
      <c r="E1" t="s">
        <v>0</v>
      </c>
      <c r="F1">
        <v>0.2</v>
      </c>
      <c r="G1" t="s">
        <v>8</v>
      </c>
    </row>
    <row r="2" spans="1:7" x14ac:dyDescent="0.3">
      <c r="A2" t="s">
        <v>2</v>
      </c>
      <c r="B2" s="1">
        <v>2.5000000000000001E-3</v>
      </c>
      <c r="E2" t="s">
        <v>9</v>
      </c>
      <c r="F2">
        <v>12</v>
      </c>
    </row>
    <row r="3" spans="1:7" x14ac:dyDescent="0.3">
      <c r="A3" t="s">
        <v>3</v>
      </c>
      <c r="B3" s="1">
        <v>2E-3</v>
      </c>
      <c r="E3" t="s">
        <v>10</v>
      </c>
      <c r="F3">
        <f>2^F2</f>
        <v>4096</v>
      </c>
    </row>
    <row r="4" spans="1:7" x14ac:dyDescent="0.3">
      <c r="A4" t="s">
        <v>4</v>
      </c>
      <c r="B4" s="1">
        <v>7.4999999999999997E-3</v>
      </c>
      <c r="E4" t="s">
        <v>11</v>
      </c>
      <c r="F4" s="4">
        <f>F1/F3</f>
        <v>4.8828125000000003E-5</v>
      </c>
      <c r="G4" t="s">
        <v>8</v>
      </c>
    </row>
    <row r="5" spans="1:7" x14ac:dyDescent="0.3">
      <c r="A5" t="s">
        <v>5</v>
      </c>
      <c r="B5" s="1">
        <f>0.5/100</f>
        <v>5.0000000000000001E-3</v>
      </c>
      <c r="E5" t="s">
        <v>12</v>
      </c>
      <c r="F5" s="5">
        <v>150</v>
      </c>
      <c r="G5" t="s">
        <v>13</v>
      </c>
    </row>
    <row r="6" spans="1:7" x14ac:dyDescent="0.3">
      <c r="A6" t="s">
        <v>6</v>
      </c>
      <c r="B6" s="1">
        <f>SQRT(B2^2+B3^2+B4^2+B5^2)</f>
        <v>9.5655632348544961E-3</v>
      </c>
      <c r="C6" s="3">
        <f>B6*B1</f>
        <v>0.28696689704563488</v>
      </c>
      <c r="D6" t="s">
        <v>1</v>
      </c>
      <c r="F6" s="2">
        <f>F5*F4</f>
        <v>7.32421875E-3</v>
      </c>
      <c r="G6" t="s">
        <v>1</v>
      </c>
    </row>
    <row r="7" spans="1:7" x14ac:dyDescent="0.3">
      <c r="C7" s="3">
        <f>C6*101.325/14.7</f>
        <v>1.9780218260645548</v>
      </c>
      <c r="D7" t="s">
        <v>7</v>
      </c>
      <c r="F7" s="2">
        <f>F6*101.325/4.7</f>
        <v>0.15789924783909573</v>
      </c>
      <c r="G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Greene</dc:creator>
  <cp:lastModifiedBy>Benton Greene</cp:lastModifiedBy>
  <dcterms:created xsi:type="dcterms:W3CDTF">2016-02-22T15:49:05Z</dcterms:created>
  <dcterms:modified xsi:type="dcterms:W3CDTF">2016-02-22T16:09:23Z</dcterms:modified>
</cp:coreProperties>
</file>